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55" documentId="11_4DA07774968DB5626DA4262A2680E29D5010A5FE" xr6:coauthVersionLast="47" xr6:coauthVersionMax="47" xr10:uidLastSave="{D87CB851-345C-4C33-9378-7C88FB2D7831}"/>
  <bookViews>
    <workbookView xWindow="-120" yWindow="-120" windowWidth="19440" windowHeight="11310" activeTab="1" xr2:uid="{00000000-000D-0000-FFFF-FFFF00000000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3" i="2" s="1"/>
  <c r="D2" i="2"/>
  <c r="D3" i="2"/>
  <c r="D4" i="2"/>
  <c r="D5" i="2"/>
  <c r="D6" i="2"/>
  <c r="D7" i="2"/>
  <c r="D8" i="2"/>
  <c r="D9" i="2"/>
  <c r="D10" i="2"/>
  <c r="D11" i="2"/>
  <c r="D12" i="2"/>
  <c r="A18" i="2"/>
  <c r="A17" i="2"/>
  <c r="C9" i="2" s="1"/>
  <c r="A17" i="1"/>
  <c r="A16" i="1"/>
  <c r="B2" i="1"/>
  <c r="B3" i="1"/>
  <c r="B4" i="1"/>
  <c r="B5" i="1"/>
  <c r="B6" i="1"/>
  <c r="B7" i="1"/>
  <c r="B8" i="1"/>
  <c r="B9" i="1"/>
  <c r="B10" i="1"/>
  <c r="B11" i="1"/>
  <c r="B1" i="1"/>
  <c r="B10" i="2" l="1"/>
  <c r="B9" i="2"/>
  <c r="B8" i="2"/>
  <c r="B7" i="2"/>
  <c r="B6" i="2"/>
  <c r="B5" i="2"/>
  <c r="C10" i="2"/>
  <c r="B2" i="2"/>
  <c r="B12" i="2"/>
  <c r="B4" i="2"/>
  <c r="C3" i="2"/>
  <c r="C8" i="2"/>
  <c r="B11" i="2"/>
  <c r="C6" i="2"/>
  <c r="C2" i="2"/>
  <c r="C5" i="2"/>
  <c r="C2" i="1"/>
  <c r="C12" i="2"/>
  <c r="C4" i="2"/>
  <c r="C7" i="2"/>
  <c r="C11" i="2"/>
  <c r="C9" i="1"/>
  <c r="C8" i="1"/>
  <c r="C7" i="1"/>
  <c r="C6" i="1"/>
  <c r="C5" i="1"/>
  <c r="C1" i="1"/>
  <c r="C4" i="1"/>
  <c r="C11" i="1"/>
  <c r="C3" i="1"/>
  <c r="C10" i="1"/>
</calcChain>
</file>

<file path=xl/sharedStrings.xml><?xml version="1.0" encoding="utf-8"?>
<sst xmlns="http://schemas.openxmlformats.org/spreadsheetml/2006/main" count="4" uniqueCount="4">
  <si>
    <t>Veri</t>
  </si>
  <si>
    <t>Min-Max N.</t>
  </si>
  <si>
    <t>Z-score N.</t>
  </si>
  <si>
    <t>Nor of Decimal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</si>
</sst>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A11" sqref="A1:A11"/>
    </sheetView>
  </sheetViews>
  <sheetFormatPr defaultRowHeight="15" x14ac:dyDescent="0.25"/>
  <cols>
    <col min="2" max="2" width="13" customWidth="1"/>
  </cols>
  <sheetData>
    <row r="1" spans="1:3" x14ac:dyDescent="0.25">
      <c r="A1" s="1">
        <v>12000</v>
      </c>
      <c r="B1">
        <f>((A1-A$1)/(A$11-A$1))*(A$14-A$13)+A$13</f>
        <v>0</v>
      </c>
      <c r="C1">
        <f>(A1-A$16)/A$17</f>
        <v>-1.4014324371664579</v>
      </c>
    </row>
    <row r="2" spans="1:3" x14ac:dyDescent="0.25">
      <c r="A2" s="1">
        <v>15000</v>
      </c>
      <c r="B2">
        <f t="shared" ref="B2:B11" si="0">((A2-A$1)/(A$11-A$1))*(A$14-A$13)+A$13</f>
        <v>3.4883720930232558E-2</v>
      </c>
      <c r="C2">
        <f t="shared" ref="C2:C11" si="1">(A2-A$16)/A$17</f>
        <v>-1.2916231712663413</v>
      </c>
    </row>
    <row r="3" spans="1:3" x14ac:dyDescent="0.25">
      <c r="A3" s="1">
        <v>23000</v>
      </c>
      <c r="B3">
        <f t="shared" si="0"/>
        <v>0.12790697674418605</v>
      </c>
      <c r="C3">
        <f t="shared" si="1"/>
        <v>-0.99879846219936375</v>
      </c>
    </row>
    <row r="4" spans="1:3" x14ac:dyDescent="0.25">
      <c r="A4" s="1">
        <v>37000</v>
      </c>
      <c r="B4">
        <f t="shared" si="0"/>
        <v>0.29069767441860467</v>
      </c>
      <c r="C4">
        <f t="shared" si="1"/>
        <v>-0.48635522133215286</v>
      </c>
    </row>
    <row r="5" spans="1:3" x14ac:dyDescent="0.25">
      <c r="A5" s="1">
        <v>39900</v>
      </c>
      <c r="B5">
        <f t="shared" si="0"/>
        <v>0.32441860465116279</v>
      </c>
      <c r="C5">
        <f t="shared" si="1"/>
        <v>-0.38020626429537346</v>
      </c>
    </row>
    <row r="6" spans="1:3" x14ac:dyDescent="0.25">
      <c r="A6" s="1">
        <v>47800</v>
      </c>
      <c r="B6">
        <f t="shared" si="0"/>
        <v>0.41627906976744183</v>
      </c>
      <c r="C6">
        <f t="shared" si="1"/>
        <v>-9.1041864091733066E-2</v>
      </c>
    </row>
    <row r="7" spans="1:3" x14ac:dyDescent="0.25">
      <c r="A7" s="1">
        <v>53600</v>
      </c>
      <c r="B7">
        <f t="shared" si="0"/>
        <v>0.48372093023255813</v>
      </c>
      <c r="C7">
        <f t="shared" si="1"/>
        <v>0.12125604998182571</v>
      </c>
    </row>
    <row r="8" spans="1:3" x14ac:dyDescent="0.25">
      <c r="A8" s="1">
        <v>65560</v>
      </c>
      <c r="B8">
        <f t="shared" si="0"/>
        <v>0.62279069767441864</v>
      </c>
      <c r="C8">
        <f t="shared" si="1"/>
        <v>0.55902899003695727</v>
      </c>
    </row>
    <row r="9" spans="1:3" x14ac:dyDescent="0.25">
      <c r="A9" s="1">
        <v>73600</v>
      </c>
      <c r="B9">
        <f t="shared" si="0"/>
        <v>0.71627906976744182</v>
      </c>
      <c r="C9">
        <f t="shared" si="1"/>
        <v>0.85331782264926981</v>
      </c>
    </row>
    <row r="10" spans="1:3" x14ac:dyDescent="0.25">
      <c r="A10" s="1">
        <v>87700</v>
      </c>
      <c r="B10">
        <f t="shared" si="0"/>
        <v>0.88023255813953494</v>
      </c>
      <c r="C10">
        <f t="shared" si="1"/>
        <v>1.3694213723798179</v>
      </c>
    </row>
    <row r="11" spans="1:3" x14ac:dyDescent="0.25">
      <c r="A11" s="1">
        <v>98000</v>
      </c>
      <c r="B11">
        <f t="shared" si="0"/>
        <v>1</v>
      </c>
      <c r="C11">
        <f t="shared" si="1"/>
        <v>1.7464331853035515</v>
      </c>
    </row>
    <row r="13" spans="1:3" x14ac:dyDescent="0.25">
      <c r="A13" s="1">
        <v>0</v>
      </c>
    </row>
    <row r="14" spans="1:3" x14ac:dyDescent="0.25">
      <c r="A14" s="1">
        <v>1</v>
      </c>
    </row>
    <row r="16" spans="1:3" x14ac:dyDescent="0.25">
      <c r="A16" s="1">
        <f>AVERAGE(A1:A11)</f>
        <v>50287.272727272728</v>
      </c>
    </row>
    <row r="17" spans="1:1" x14ac:dyDescent="0.25">
      <c r="A17">
        <f>_xlfn.STDEV.P(A1:A11)</f>
        <v>27320.098858768659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DF8D-C3E7-42A6-A0AA-FF4FB05274BA}">
  <dimension ref="A1:D18"/>
  <sheetViews>
    <sheetView tabSelected="1" zoomScale="145" zoomScaleNormal="145" workbookViewId="0">
      <selection activeCell="I8" sqref="I8"/>
    </sheetView>
  </sheetViews>
  <sheetFormatPr defaultRowHeight="15" x14ac:dyDescent="0.25"/>
  <cols>
    <col min="1" max="1" width="9.140625" style="2"/>
    <col min="2" max="2" width="12.5703125" style="2" bestFit="1" customWidth="1"/>
    <col min="3" max="3" width="9.140625" style="2"/>
    <col min="4" max="4" width="17.140625" style="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12000</v>
      </c>
      <c r="B2" s="2">
        <f>((A2-$B$14)/($B$15-$B$14)*(A$15-A$14))+A$14</f>
        <v>0</v>
      </c>
      <c r="C2" s="2">
        <f>(A2-A$17)/A$18</f>
        <v>-1.4014324371664579</v>
      </c>
      <c r="D2" s="2">
        <f t="shared" ref="D2:D11" si="0">A2/100000</f>
        <v>0.12</v>
      </c>
    </row>
    <row r="3" spans="1:4" x14ac:dyDescent="0.25">
      <c r="A3" s="3">
        <v>15000</v>
      </c>
      <c r="B3" s="2">
        <f t="shared" ref="B3:B12" si="1">((A3-$B$14)/($B$15-$B$14)*(A$15-A$14))+A$14</f>
        <v>3.4883720930232558E-2</v>
      </c>
      <c r="C3" s="2">
        <f t="shared" ref="C3:C12" si="2">(A3-A$17)/A$18</f>
        <v>-1.2916231712663413</v>
      </c>
      <c r="D3" s="2">
        <f t="shared" si="0"/>
        <v>0.15</v>
      </c>
    </row>
    <row r="4" spans="1:4" x14ac:dyDescent="0.25">
      <c r="A4" s="3">
        <v>23000</v>
      </c>
      <c r="B4" s="2">
        <f t="shared" si="1"/>
        <v>0.12790697674418605</v>
      </c>
      <c r="C4" s="2">
        <f t="shared" si="2"/>
        <v>-0.99879846219936375</v>
      </c>
      <c r="D4" s="2">
        <f t="shared" si="0"/>
        <v>0.23</v>
      </c>
    </row>
    <row r="5" spans="1:4" x14ac:dyDescent="0.25">
      <c r="A5" s="3">
        <v>37000</v>
      </c>
      <c r="B5" s="2">
        <f t="shared" si="1"/>
        <v>0.29069767441860467</v>
      </c>
      <c r="C5" s="2">
        <f t="shared" si="2"/>
        <v>-0.48635522133215286</v>
      </c>
      <c r="D5" s="2">
        <f t="shared" si="0"/>
        <v>0.37</v>
      </c>
    </row>
    <row r="6" spans="1:4" x14ac:dyDescent="0.25">
      <c r="A6" s="3">
        <v>39900</v>
      </c>
      <c r="B6" s="2">
        <f t="shared" si="1"/>
        <v>0.32441860465116279</v>
      </c>
      <c r="C6" s="2">
        <f t="shared" si="2"/>
        <v>-0.38020626429537346</v>
      </c>
      <c r="D6" s="2">
        <f t="shared" si="0"/>
        <v>0.39900000000000002</v>
      </c>
    </row>
    <row r="7" spans="1:4" x14ac:dyDescent="0.25">
      <c r="A7" s="3">
        <v>47800</v>
      </c>
      <c r="B7" s="2">
        <f t="shared" si="1"/>
        <v>0.41627906976744183</v>
      </c>
      <c r="C7" s="2">
        <f t="shared" si="2"/>
        <v>-9.1041864091733066E-2</v>
      </c>
      <c r="D7" s="2">
        <f t="shared" si="0"/>
        <v>0.47799999999999998</v>
      </c>
    </row>
    <row r="8" spans="1:4" x14ac:dyDescent="0.25">
      <c r="A8" s="3">
        <v>53600</v>
      </c>
      <c r="B8" s="2">
        <f t="shared" si="1"/>
        <v>0.48372093023255813</v>
      </c>
      <c r="C8" s="2">
        <f t="shared" si="2"/>
        <v>0.12125604998182571</v>
      </c>
      <c r="D8" s="2">
        <f t="shared" si="0"/>
        <v>0.53600000000000003</v>
      </c>
    </row>
    <row r="9" spans="1:4" x14ac:dyDescent="0.25">
      <c r="A9" s="3">
        <v>65560</v>
      </c>
      <c r="B9" s="2">
        <f t="shared" si="1"/>
        <v>0.62279069767441864</v>
      </c>
      <c r="C9" s="2">
        <f t="shared" si="2"/>
        <v>0.55902899003695727</v>
      </c>
      <c r="D9" s="2">
        <f t="shared" si="0"/>
        <v>0.65559999999999996</v>
      </c>
    </row>
    <row r="10" spans="1:4" x14ac:dyDescent="0.25">
      <c r="A10" s="3">
        <v>73600</v>
      </c>
      <c r="B10" s="2">
        <f t="shared" si="1"/>
        <v>0.71627906976744182</v>
      </c>
      <c r="C10" s="2">
        <f t="shared" si="2"/>
        <v>0.85331782264926981</v>
      </c>
      <c r="D10" s="2">
        <f t="shared" si="0"/>
        <v>0.73599999999999999</v>
      </c>
    </row>
    <row r="11" spans="1:4" x14ac:dyDescent="0.25">
      <c r="A11" s="3">
        <v>87700</v>
      </c>
      <c r="B11" s="2">
        <f t="shared" si="1"/>
        <v>0.88023255813953494</v>
      </c>
      <c r="C11" s="2">
        <f t="shared" si="2"/>
        <v>1.3694213723798179</v>
      </c>
      <c r="D11" s="2">
        <f t="shared" si="0"/>
        <v>0.877</v>
      </c>
    </row>
    <row r="12" spans="1:4" x14ac:dyDescent="0.25">
      <c r="A12" s="3">
        <v>98000</v>
      </c>
      <c r="B12" s="2">
        <f t="shared" si="1"/>
        <v>1</v>
      </c>
      <c r="C12" s="2">
        <f t="shared" si="2"/>
        <v>1.7464331853035515</v>
      </c>
      <c r="D12" s="2">
        <f>A12/100000</f>
        <v>0.98</v>
      </c>
    </row>
    <row r="14" spans="1:4" x14ac:dyDescent="0.25">
      <c r="A14" s="3">
        <v>0</v>
      </c>
      <c r="B14" s="3">
        <f>MIN(A2:A12)</f>
        <v>12000</v>
      </c>
    </row>
    <row r="15" spans="1:4" x14ac:dyDescent="0.25">
      <c r="A15" s="3">
        <v>1</v>
      </c>
      <c r="B15" s="3">
        <f>MAX(A2:A12)</f>
        <v>98000</v>
      </c>
    </row>
    <row r="17" spans="1:1" x14ac:dyDescent="0.25">
      <c r="A17" s="3">
        <f>AVERAGE(A2:A12)</f>
        <v>50287.272727272728</v>
      </c>
    </row>
    <row r="18" spans="1:1" x14ac:dyDescent="0.25">
      <c r="A18" s="2">
        <f>_xlfn.STDEV.P(A2:A12)</f>
        <v>27320.098858768659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2024-04-05T08:39:58Z</dcterms:modified>
</cp:coreProperties>
</file>